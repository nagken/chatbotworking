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etnao365-my.sharepoint.com/personal/david_davis_cvshealth_com/Documents/Downloads/Plan Design Care/"/>
    </mc:Choice>
  </mc:AlternateContent>
  <xr:revisionPtr revIDLastSave="15" documentId="8_{70533383-6703-4678-9424-2C18B1F316E8}" xr6:coauthVersionLast="47" xr6:coauthVersionMax="47" xr10:uidLastSave="{BEB88E37-AE33-4589-A4CD-59298A276E6F}"/>
  <bookViews>
    <workbookView xWindow="28680" yWindow="-120" windowWidth="29040" windowHeight="15840" xr2:uid="{3761BA1A-1599-4607-A7B7-756B767AFC45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" l="1"/>
  <c r="A11" i="1"/>
  <c r="E10" i="1"/>
  <c r="N4" i="1"/>
  <c r="A7" i="1" s="1"/>
  <c r="I7" i="1" s="1"/>
  <c r="A10" i="1" s="1"/>
  <c r="I10" i="1" l="1"/>
  <c r="O10" i="1" s="1"/>
  <c r="A13" i="1" s="1"/>
  <c r="I13" i="1" s="1"/>
</calcChain>
</file>

<file path=xl/sharedStrings.xml><?xml version="1.0" encoding="utf-8"?>
<sst xmlns="http://schemas.openxmlformats.org/spreadsheetml/2006/main" count="73" uniqueCount="65">
  <si>
    <t>Step 1</t>
  </si>
  <si>
    <t>+</t>
  </si>
  <si>
    <t>=</t>
  </si>
  <si>
    <t>AM DOSE</t>
  </si>
  <si>
    <t>NOON DOSE</t>
  </si>
  <si>
    <t>PM DOSE</t>
  </si>
  <si>
    <t>TOTAL USES PER DAY</t>
  </si>
  <si>
    <t>Step 2</t>
  </si>
  <si>
    <t>X</t>
  </si>
  <si>
    <t>USAGE QTY PACKAGE</t>
  </si>
  <si>
    <t>PACKAGE SIZE</t>
  </si>
  <si>
    <t>TOTAL DAYS PRESCRIBED</t>
  </si>
  <si>
    <t>TOTAL USES PER DAYS SUPPLY</t>
  </si>
  <si>
    <t>Step 3</t>
  </si>
  <si>
    <t>/</t>
  </si>
  <si>
    <t>USAGE PACKAGE QTY</t>
  </si>
  <si>
    <t xml:space="preserve">TOTAL PACKAGES </t>
  </si>
  <si>
    <t>ROUNDED UP TO NEAREST WHOLE NUMBER</t>
  </si>
  <si>
    <t>Step 4</t>
  </si>
  <si>
    <t>TOTAL PACKAGES NEEDED</t>
  </si>
  <si>
    <t>MAIL/POS QUANTITY</t>
  </si>
  <si>
    <t>Drug Detail Screen (example only)</t>
  </si>
  <si>
    <t xml:space="preserve">To find the info below you can click on the drug name on mainscreen of Peoplesafe if they have filled before. </t>
  </si>
  <si>
    <t>Delivery System Method</t>
  </si>
  <si>
    <t>Order</t>
  </si>
  <si>
    <t>Participant</t>
  </si>
  <si>
    <t>RX Number</t>
  </si>
  <si>
    <t>Posted/     Future Fill</t>
  </si>
  <si>
    <t>Filled</t>
  </si>
  <si>
    <t>Dispensed Drug</t>
  </si>
  <si>
    <t>Pharmacy</t>
  </si>
  <si>
    <t>Fills Left/      Next Refill</t>
  </si>
  <si>
    <t>Status Date / Status</t>
  </si>
  <si>
    <t>Ship Method/ Tracking</t>
  </si>
  <si>
    <t>POINT OF SALE</t>
  </si>
  <si>
    <t>XYREM-SOLUTION-500MG/ML</t>
  </si>
  <si>
    <t>1346322575-EXPRESS SCRIPTS SPECTY DIS SCV</t>
  </si>
  <si>
    <t>Paid</t>
  </si>
  <si>
    <t>Can also be located by clicking on the NDC number when doing the drug search in test claims.</t>
  </si>
  <si>
    <t>Drug ID</t>
  </si>
  <si>
    <t>ID Type</t>
  </si>
  <si>
    <t>Drug Name</t>
  </si>
  <si>
    <t>Dosage</t>
  </si>
  <si>
    <t>GPI</t>
  </si>
  <si>
    <t>GCN</t>
  </si>
  <si>
    <t>USC</t>
  </si>
  <si>
    <t>ACT/ Inact</t>
  </si>
  <si>
    <t>Class</t>
  </si>
  <si>
    <t>BRD/ Gen</t>
  </si>
  <si>
    <t>Form/ Pref</t>
  </si>
  <si>
    <t>Desi</t>
  </si>
  <si>
    <t>Pkg Type</t>
  </si>
  <si>
    <t>Units Qty</t>
  </si>
  <si>
    <t>Manufacturer</t>
  </si>
  <si>
    <t>NDC</t>
  </si>
  <si>
    <t>NOVOLOG 5'S CRT 100U/ML</t>
  </si>
  <si>
    <t>SOCT</t>
  </si>
  <si>
    <t>2710400200E220</t>
  </si>
  <si>
    <t>A</t>
  </si>
  <si>
    <t>AL</t>
  </si>
  <si>
    <t>B</t>
  </si>
  <si>
    <t>UN</t>
  </si>
  <si>
    <t>15.00 ML</t>
  </si>
  <si>
    <t>NOVO NORDISK</t>
  </si>
  <si>
    <r>
      <t>Tip:</t>
    </r>
    <r>
      <rPr>
        <sz val="12"/>
        <color theme="1"/>
        <rFont val="Verdana"/>
        <family val="2"/>
      </rPr>
      <t xml:space="preserve"> Press the </t>
    </r>
    <r>
      <rPr>
        <b/>
        <sz val="12"/>
        <color theme="1"/>
        <rFont val="Verdana"/>
        <family val="2"/>
      </rPr>
      <t>TAB</t>
    </r>
    <r>
      <rPr>
        <sz val="12"/>
        <color theme="1"/>
        <rFont val="Verdana"/>
        <family val="2"/>
      </rPr>
      <t xml:space="preserve"> key after inserting your information to move to the next field and to auto populate information. To perform another calculation, input </t>
    </r>
    <r>
      <rPr>
        <b/>
        <sz val="12"/>
        <color theme="1"/>
        <rFont val="Verdana"/>
        <family val="2"/>
      </rPr>
      <t>zero's in each of the orange fields</t>
    </r>
    <r>
      <rPr>
        <sz val="12"/>
        <color theme="1"/>
        <rFont val="Verdana"/>
        <family val="2"/>
      </rPr>
      <t xml:space="preserve"> below then add the appropriate information.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</si>
</sst>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thin">
        <color rgb="FF3F3F3F"/>
      </top>
      <bottom/>
      <diagonal/>
    </border>
    <border>
      <left/>
      <right/>
      <top style="thin">
        <color rgb="FF3F3F3F"/>
      </top>
      <bottom/>
      <diagonal/>
    </border>
    <border>
      <left style="medium">
        <color indexed="64"/>
      </left>
      <right/>
      <top style="thin">
        <color rgb="FF3F3F3F"/>
      </top>
      <bottom style="medium">
        <color indexed="64"/>
      </bottom>
      <diagonal/>
    </border>
    <border>
      <left/>
      <right/>
      <top style="thin">
        <color rgb="FF3F3F3F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/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</borders>
  <cellStyleXfs count="14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0" fontId="5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7" fillId="8" borderId="0" applyNumberFormat="0" applyBorder="0" applyAlignment="0" applyProtection="0"/>
    <xf numFmtId="0" fontId="1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</cellStyleXfs>
  <cellXfs count="84">
    <xf numFmtId="0" fontId="0" fillId="0" borderId="0" xfId="0"/>
    <xf numFmtId="0" fontId="6" fillId="9" borderId="30" xfId="11" applyFont="1" applyBorder="1" applyAlignment="1">
      <alignment vertical="center" wrapText="1"/>
    </xf>
    <xf numFmtId="0" fontId="6" fillId="9" borderId="19" xfId="11" applyFont="1" applyBorder="1" applyAlignment="1">
      <alignment vertical="center" wrapText="1"/>
    </xf>
    <xf numFmtId="0" fontId="13" fillId="8" borderId="30" xfId="10" applyFont="1" applyBorder="1" applyAlignment="1">
      <alignment horizontal="left" vertical="center"/>
    </xf>
    <xf numFmtId="0" fontId="12" fillId="8" borderId="19" xfId="10" applyFont="1" applyBorder="1"/>
    <xf numFmtId="0" fontId="13" fillId="8" borderId="19" xfId="10" applyFont="1" applyBorder="1" applyAlignment="1">
      <alignment horizontal="left" vertical="center"/>
    </xf>
    <xf numFmtId="0" fontId="6" fillId="9" borderId="30" xfId="11" applyFont="1" applyBorder="1" applyAlignment="1">
      <alignment horizontal="left" vertical="center" wrapText="1"/>
    </xf>
    <xf numFmtId="0" fontId="6" fillId="9" borderId="40" xfId="11" applyFont="1" applyBorder="1" applyAlignment="1">
      <alignment horizontal="left" vertical="center" wrapText="1"/>
    </xf>
    <xf numFmtId="0" fontId="6" fillId="9" borderId="31" xfId="11" applyFont="1" applyBorder="1" applyAlignment="1">
      <alignment horizontal="left" vertical="center" wrapText="1"/>
    </xf>
    <xf numFmtId="0" fontId="6" fillId="9" borderId="19" xfId="11" applyFont="1" applyBorder="1" applyAlignment="1">
      <alignment horizontal="left" vertical="center" wrapText="1"/>
    </xf>
    <xf numFmtId="0" fontId="7" fillId="8" borderId="30" xfId="10" applyBorder="1"/>
    <xf numFmtId="0" fontId="14" fillId="8" borderId="41" xfId="10" applyFont="1" applyBorder="1" applyAlignment="1">
      <alignment horizontal="left" vertical="center" wrapText="1"/>
    </xf>
    <xf numFmtId="0" fontId="15" fillId="8" borderId="31" xfId="10" applyFont="1" applyBorder="1"/>
    <xf numFmtId="0" fontId="15" fillId="8" borderId="19" xfId="10" applyFont="1" applyBorder="1"/>
    <xf numFmtId="49" fontId="15" fillId="8" borderId="19" xfId="1" applyNumberFormat="1" applyFont="1" applyFill="1" applyBorder="1"/>
    <xf numFmtId="0" fontId="6" fillId="9" borderId="19" xfId="11" applyFont="1" applyBorder="1" applyAlignment="1">
      <alignment horizontal="center" vertical="center" wrapText="1"/>
    </xf>
    <xf numFmtId="0" fontId="15" fillId="8" borderId="30" xfId="10" applyFont="1" applyBorder="1" applyAlignment="1">
      <alignment horizontal="left"/>
    </xf>
    <xf numFmtId="0" fontId="15" fillId="8" borderId="35" xfId="10" applyFont="1" applyBorder="1" applyAlignment="1">
      <alignment horizontal="left"/>
    </xf>
    <xf numFmtId="0" fontId="15" fillId="8" borderId="31" xfId="10" applyFont="1" applyBorder="1" applyAlignment="1">
      <alignment horizontal="left"/>
    </xf>
    <xf numFmtId="0" fontId="13" fillId="8" borderId="30" xfId="10" applyFont="1" applyBorder="1" applyAlignment="1">
      <alignment horizontal="left" vertical="center"/>
    </xf>
    <xf numFmtId="0" fontId="13" fillId="8" borderId="31" xfId="10" applyFont="1" applyBorder="1" applyAlignment="1">
      <alignment horizontal="left" vertical="center"/>
    </xf>
    <xf numFmtId="0" fontId="14" fillId="8" borderId="36" xfId="10" applyFont="1" applyBorder="1" applyAlignment="1">
      <alignment horizontal="left" vertical="center" wrapText="1"/>
    </xf>
    <xf numFmtId="0" fontId="14" fillId="8" borderId="37" xfId="10" applyFont="1" applyBorder="1" applyAlignment="1">
      <alignment horizontal="left" vertical="center" wrapText="1"/>
    </xf>
    <xf numFmtId="0" fontId="14" fillId="8" borderId="38" xfId="10" applyFont="1" applyBorder="1" applyAlignment="1">
      <alignment horizontal="left" vertical="center" wrapText="1"/>
    </xf>
    <xf numFmtId="0" fontId="14" fillId="8" borderId="35" xfId="10" applyFont="1" applyBorder="1" applyAlignment="1">
      <alignment horizontal="left" vertical="center" wrapText="1"/>
    </xf>
    <xf numFmtId="0" fontId="14" fillId="8" borderId="31" xfId="10" applyFont="1" applyBorder="1" applyAlignment="1">
      <alignment horizontal="left" vertical="center" wrapText="1"/>
    </xf>
    <xf numFmtId="0" fontId="12" fillId="8" borderId="30" xfId="10" applyFont="1" applyBorder="1" applyAlignment="1">
      <alignment horizontal="center"/>
    </xf>
    <xf numFmtId="0" fontId="12" fillId="8" borderId="31" xfId="10" applyFont="1" applyBorder="1" applyAlignment="1">
      <alignment horizontal="center"/>
    </xf>
    <xf numFmtId="0" fontId="12" fillId="0" borderId="39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1" fillId="11" borderId="0" xfId="13" applyFont="1" applyAlignment="1">
      <alignment horizontal="center"/>
    </xf>
    <xf numFmtId="0" fontId="12" fillId="0" borderId="29" xfId="0" applyFont="1" applyBorder="1" applyAlignment="1">
      <alignment horizontal="center"/>
    </xf>
    <xf numFmtId="0" fontId="6" fillId="9" borderId="30" xfId="11" applyFont="1" applyBorder="1" applyAlignment="1">
      <alignment vertical="center" wrapText="1"/>
    </xf>
    <xf numFmtId="0" fontId="6" fillId="9" borderId="31" xfId="11" applyFont="1" applyBorder="1" applyAlignment="1">
      <alignment vertical="center" wrapText="1"/>
    </xf>
    <xf numFmtId="0" fontId="6" fillId="9" borderId="32" xfId="11" applyFont="1" applyBorder="1" applyAlignment="1">
      <alignment vertical="center" wrapText="1"/>
    </xf>
    <xf numFmtId="0" fontId="6" fillId="9" borderId="33" xfId="11" applyFont="1" applyBorder="1" applyAlignment="1">
      <alignment vertical="center" wrapText="1"/>
    </xf>
    <xf numFmtId="0" fontId="6" fillId="9" borderId="34" xfId="11" applyFont="1" applyBorder="1" applyAlignment="1">
      <alignment vertical="center" wrapText="1"/>
    </xf>
    <xf numFmtId="0" fontId="6" fillId="9" borderId="35" xfId="11" applyFont="1" applyBorder="1" applyAlignment="1">
      <alignment vertical="center" wrapText="1"/>
    </xf>
    <xf numFmtId="0" fontId="3" fillId="3" borderId="16" xfId="3" applyBorder="1" applyAlignment="1">
      <alignment horizontal="center"/>
    </xf>
    <xf numFmtId="0" fontId="3" fillId="3" borderId="17" xfId="3" applyBorder="1" applyAlignment="1">
      <alignment horizontal="center"/>
    </xf>
    <xf numFmtId="0" fontId="3" fillId="3" borderId="18" xfId="3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3" xfId="0" applyFont="1" applyBorder="1" applyAlignment="1">
      <alignment horizontal="center"/>
    </xf>
    <xf numFmtId="0" fontId="3" fillId="3" borderId="2" xfId="3" applyAlignment="1">
      <alignment horizontal="center"/>
    </xf>
    <xf numFmtId="0" fontId="9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4" fillId="3" borderId="1" xfId="4" applyAlignment="1">
      <alignment horizontal="center"/>
    </xf>
    <xf numFmtId="0" fontId="4" fillId="3" borderId="11" xfId="4" applyBorder="1" applyAlignment="1">
      <alignment horizontal="center"/>
    </xf>
    <xf numFmtId="0" fontId="5" fillId="0" borderId="26" xfId="5" applyBorder="1" applyAlignment="1">
      <alignment horizontal="center"/>
    </xf>
    <xf numFmtId="0" fontId="5" fillId="0" borderId="27" xfId="5" applyBorder="1" applyAlignment="1">
      <alignment horizontal="center"/>
    </xf>
    <xf numFmtId="0" fontId="5" fillId="0" borderId="3" xfId="5" applyBorder="1" applyAlignment="1">
      <alignment horizontal="center"/>
    </xf>
    <xf numFmtId="0" fontId="5" fillId="0" borderId="28" xfId="5" applyBorder="1" applyAlignment="1">
      <alignment horizontal="center"/>
    </xf>
    <xf numFmtId="0" fontId="3" fillId="3" borderId="23" xfId="3" applyBorder="1" applyAlignment="1">
      <alignment horizontal="center"/>
    </xf>
    <xf numFmtId="0" fontId="5" fillId="0" borderId="24" xfId="5" applyBorder="1" applyAlignment="1">
      <alignment horizontal="center"/>
    </xf>
    <xf numFmtId="0" fontId="5" fillId="0" borderId="25" xfId="5" applyBorder="1" applyAlignment="1">
      <alignment horizontal="center"/>
    </xf>
    <xf numFmtId="0" fontId="5" fillId="0" borderId="0" xfId="5" applyAlignment="1">
      <alignment horizontal="center"/>
    </xf>
    <xf numFmtId="0" fontId="5" fillId="0" borderId="14" xfId="5" applyBorder="1" applyAlignment="1">
      <alignment horizontal="center"/>
    </xf>
    <xf numFmtId="0" fontId="2" fillId="2" borderId="8" xfId="2" applyBorder="1" applyAlignment="1" applyProtection="1">
      <alignment horizontal="center"/>
      <protection locked="0"/>
    </xf>
    <xf numFmtId="0" fontId="2" fillId="2" borderId="9" xfId="2" applyBorder="1" applyAlignment="1" applyProtection="1">
      <alignment horizontal="center"/>
      <protection locked="0"/>
    </xf>
    <xf numFmtId="0" fontId="2" fillId="2" borderId="10" xfId="2" applyBorder="1" applyAlignment="1" applyProtection="1">
      <alignment horizontal="center"/>
      <protection locked="0"/>
    </xf>
    <xf numFmtId="0" fontId="7" fillId="10" borderId="19" xfId="12" applyBorder="1" applyAlignment="1">
      <alignment horizontal="center"/>
    </xf>
    <xf numFmtId="0" fontId="7" fillId="10" borderId="20" xfId="12" applyBorder="1" applyAlignment="1">
      <alignment horizontal="center"/>
    </xf>
    <xf numFmtId="0" fontId="5" fillId="0" borderId="12" xfId="5" applyBorder="1" applyAlignment="1">
      <alignment horizontal="center"/>
    </xf>
    <xf numFmtId="0" fontId="5" fillId="0" borderId="13" xfId="5" applyBorder="1" applyAlignment="1">
      <alignment horizontal="center"/>
    </xf>
    <xf numFmtId="0" fontId="2" fillId="2" borderId="21" xfId="2" applyBorder="1" applyAlignment="1" applyProtection="1">
      <alignment horizontal="center"/>
      <protection locked="0"/>
    </xf>
    <xf numFmtId="0" fontId="2" fillId="2" borderId="22" xfId="2" applyBorder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0" fontId="2" fillId="2" borderId="7" xfId="2" applyBorder="1" applyAlignment="1" applyProtection="1">
      <alignment horizontal="center"/>
      <protection locked="0"/>
    </xf>
    <xf numFmtId="0" fontId="2" fillId="2" borderId="1" xfId="2" applyAlignment="1" applyProtection="1">
      <alignment horizontal="center"/>
      <protection locked="0"/>
    </xf>
    <xf numFmtId="0" fontId="10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16" fillId="5" borderId="4" xfId="7" applyFont="1" applyBorder="1" applyAlignment="1">
      <alignment horizontal="center"/>
    </xf>
    <xf numFmtId="0" fontId="16" fillId="5" borderId="5" xfId="7" applyFont="1" applyBorder="1" applyAlignment="1">
      <alignment horizontal="center"/>
    </xf>
    <xf numFmtId="0" fontId="16" fillId="5" borderId="6" xfId="7" applyFont="1" applyBorder="1" applyAlignment="1">
      <alignment horizontal="center"/>
    </xf>
    <xf numFmtId="0" fontId="16" fillId="6" borderId="15" xfId="8" applyFont="1" applyBorder="1" applyAlignment="1">
      <alignment horizontal="center"/>
    </xf>
    <xf numFmtId="0" fontId="16" fillId="6" borderId="0" xfId="8" applyFont="1" applyAlignment="1">
      <alignment horizontal="center"/>
    </xf>
    <xf numFmtId="0" fontId="16" fillId="6" borderId="14" xfId="8" applyFont="1" applyBorder="1" applyAlignment="1">
      <alignment horizontal="center"/>
    </xf>
    <xf numFmtId="0" fontId="16" fillId="7" borderId="15" xfId="9" applyFont="1" applyBorder="1" applyAlignment="1">
      <alignment horizontal="center"/>
    </xf>
    <xf numFmtId="0" fontId="16" fillId="7" borderId="0" xfId="9" applyFont="1" applyAlignment="1">
      <alignment horizontal="center"/>
    </xf>
    <xf numFmtId="0" fontId="16" fillId="7" borderId="14" xfId="9" applyFont="1" applyBorder="1" applyAlignment="1">
      <alignment horizontal="center"/>
    </xf>
    <xf numFmtId="0" fontId="18" fillId="4" borderId="15" xfId="6" applyFont="1" applyBorder="1" applyAlignment="1">
      <alignment horizontal="center"/>
    </xf>
    <xf numFmtId="0" fontId="18" fillId="4" borderId="0" xfId="6" applyFont="1" applyAlignment="1">
      <alignment horizontal="center"/>
    </xf>
    <xf numFmtId="0" fontId="18" fillId="4" borderId="14" xfId="6" applyFont="1" applyBorder="1" applyAlignment="1">
      <alignment horizontal="center"/>
    </xf>
  </cellXfs>
  <cellStyles count="14">
    <cellStyle name="20% - Accent1" xfId="7" builtinId="30"/>
    <cellStyle name="20% - Accent3" xfId="11" builtinId="38"/>
    <cellStyle name="40% - Accent1" xfId="8" builtinId="31"/>
    <cellStyle name="60% - Accent1" xfId="9" builtinId="32"/>
    <cellStyle name="Accent1" xfId="6" builtinId="29"/>
    <cellStyle name="Accent3" xfId="10" builtinId="37"/>
    <cellStyle name="Accent5" xfId="12" builtinId="45"/>
    <cellStyle name="Accent6" xfId="13" builtinId="49"/>
    <cellStyle name="Calculation" xfId="4" builtinId="22"/>
    <cellStyle name="Comma" xfId="1" builtinId="3"/>
    <cellStyle name="Explanatory Text" xfId="5" builtinId="53"/>
    <cellStyle name="Input" xfId="2" builtinId="20"/>
    <cellStyle name="Normal" xfId="0" builtinId="0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38101</xdr:colOff>
      <xdr:row>12</xdr:row>
      <xdr:rowOff>19050</xdr:rowOff>
    </xdr:from>
    <xdr:to>
      <xdr:col>17</xdr:col>
      <xdr:colOff>495301</xdr:colOff>
      <xdr:row>13</xdr:row>
      <xdr:rowOff>161926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C0142586-DC21-4127-A87A-20CA426B8D58}"/>
            </a:ext>
          </a:extLst>
        </xdr:cNvPr>
        <xdr:cNvSpPr/>
      </xdr:nvSpPr>
      <xdr:spPr>
        <a:xfrm>
          <a:off x="9182101" y="2886075"/>
          <a:ext cx="1676400" cy="33337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>
                  <a:lumMod val="95000"/>
                  <a:lumOff val="5000"/>
                </a:schemeClr>
              </a:solidFill>
            </a:rPr>
            <a:t>CLEAR</a:t>
          </a:r>
          <a:r>
            <a:rPr lang="en-US" sz="1100" baseline="0">
              <a:solidFill>
                <a:schemeClr val="tx1">
                  <a:lumMod val="95000"/>
                  <a:lumOff val="5000"/>
                </a:schemeClr>
              </a:solidFill>
            </a:rPr>
            <a:t> FORM</a:t>
          </a:r>
          <a:endParaRPr lang="en-US" sz="110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EC6E6-821A-4AA6-B756-8E607DCE76AE}">
  <sheetPr codeName="Sheet1"/>
  <dimension ref="A1:R21"/>
  <sheetViews>
    <sheetView tabSelected="1" workbookViewId="0">
      <pane xSplit="18" topLeftCell="S1" activePane="topRight" state="frozen"/>
      <selection pane="topRight" activeCell="T5" sqref="T5"/>
    </sheetView>
  </sheetViews>
  <sheetFormatPr defaultRowHeight="15" x14ac:dyDescent="0.25"/>
  <sheetData>
    <row r="1" spans="1:18" x14ac:dyDescent="0.25">
      <c r="A1" s="71" t="s">
        <v>64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</row>
    <row r="2" spans="1:18" ht="15.75" thickBot="1" x14ac:dyDescent="0.3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</row>
    <row r="3" spans="1:18" ht="24" customHeight="1" x14ac:dyDescent="0.25">
      <c r="A3" s="72" t="s">
        <v>0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4"/>
    </row>
    <row r="4" spans="1:18" x14ac:dyDescent="0.25">
      <c r="A4" s="68"/>
      <c r="B4" s="69"/>
      <c r="C4" s="69"/>
      <c r="D4" s="44" t="s">
        <v>1</v>
      </c>
      <c r="E4" s="57"/>
      <c r="F4" s="58"/>
      <c r="G4" s="59"/>
      <c r="H4" s="44" t="s">
        <v>1</v>
      </c>
      <c r="I4" s="57"/>
      <c r="J4" s="58"/>
      <c r="K4" s="58"/>
      <c r="L4" s="59"/>
      <c r="M4" s="70" t="s">
        <v>2</v>
      </c>
      <c r="N4" s="46">
        <f>A4+E4+I4</f>
        <v>0</v>
      </c>
      <c r="O4" s="46"/>
      <c r="P4" s="46"/>
      <c r="Q4" s="46"/>
      <c r="R4" s="47"/>
    </row>
    <row r="5" spans="1:18" x14ac:dyDescent="0.25">
      <c r="A5" s="62" t="s">
        <v>3</v>
      </c>
      <c r="B5" s="63"/>
      <c r="C5" s="63"/>
      <c r="D5" s="44"/>
      <c r="E5" s="63" t="s">
        <v>4</v>
      </c>
      <c r="F5" s="63"/>
      <c r="G5" s="63"/>
      <c r="H5" s="44"/>
      <c r="I5" s="63" t="s">
        <v>5</v>
      </c>
      <c r="J5" s="63"/>
      <c r="K5" s="63"/>
      <c r="L5" s="63"/>
      <c r="M5" s="70"/>
      <c r="N5" s="55" t="s">
        <v>6</v>
      </c>
      <c r="O5" s="55"/>
      <c r="P5" s="55"/>
      <c r="Q5" s="55"/>
      <c r="R5" s="56"/>
    </row>
    <row r="6" spans="1:18" ht="15.75" x14ac:dyDescent="0.25">
      <c r="A6" s="75" t="s">
        <v>7</v>
      </c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7"/>
    </row>
    <row r="7" spans="1:18" x14ac:dyDescent="0.25">
      <c r="A7" s="38">
        <f>N4</f>
        <v>0</v>
      </c>
      <c r="B7" s="39"/>
      <c r="C7" s="40"/>
      <c r="D7" s="44" t="s">
        <v>8</v>
      </c>
      <c r="E7" s="57"/>
      <c r="F7" s="58"/>
      <c r="G7" s="59"/>
      <c r="H7" s="44" t="s">
        <v>2</v>
      </c>
      <c r="I7" s="46">
        <f>A7*E7</f>
        <v>0</v>
      </c>
      <c r="J7" s="46"/>
      <c r="K7" s="46"/>
      <c r="L7" s="46"/>
      <c r="M7" s="46"/>
      <c r="O7" s="60" t="s">
        <v>9</v>
      </c>
      <c r="P7" s="60"/>
      <c r="Q7" s="60" t="s">
        <v>10</v>
      </c>
      <c r="R7" s="61"/>
    </row>
    <row r="8" spans="1:18" x14ac:dyDescent="0.25">
      <c r="A8" s="62" t="s">
        <v>6</v>
      </c>
      <c r="B8" s="63"/>
      <c r="C8" s="63"/>
      <c r="D8" s="44"/>
      <c r="E8" s="63" t="s">
        <v>11</v>
      </c>
      <c r="F8" s="63"/>
      <c r="G8" s="63"/>
      <c r="H8" s="44"/>
      <c r="I8" s="55" t="s">
        <v>12</v>
      </c>
      <c r="J8" s="55"/>
      <c r="K8" s="55"/>
      <c r="L8" s="55"/>
      <c r="M8" s="55"/>
      <c r="O8" s="64"/>
      <c r="P8" s="64"/>
      <c r="Q8" s="64"/>
      <c r="R8" s="65"/>
    </row>
    <row r="9" spans="1:18" ht="15.75" x14ac:dyDescent="0.25">
      <c r="A9" s="78" t="s">
        <v>13</v>
      </c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80"/>
    </row>
    <row r="10" spans="1:18" x14ac:dyDescent="0.25">
      <c r="A10" s="52">
        <f>I7</f>
        <v>0</v>
      </c>
      <c r="B10" s="43"/>
      <c r="C10" s="43"/>
      <c r="D10" s="44" t="s">
        <v>14</v>
      </c>
      <c r="E10" s="43">
        <f>O8</f>
        <v>0</v>
      </c>
      <c r="F10" s="43"/>
      <c r="G10" s="43"/>
      <c r="H10" s="44" t="s">
        <v>2</v>
      </c>
      <c r="I10" s="46" t="e">
        <f>A10/E10</f>
        <v>#DIV/0!</v>
      </c>
      <c r="J10" s="46"/>
      <c r="K10" s="46"/>
      <c r="L10" s="46"/>
      <c r="M10" s="46"/>
      <c r="N10" s="44" t="s">
        <v>2</v>
      </c>
      <c r="O10" s="46" t="e">
        <f>ROUNDUP(I10,0)</f>
        <v>#DIV/0!</v>
      </c>
      <c r="P10" s="46"/>
      <c r="Q10" s="46"/>
      <c r="R10" s="47"/>
    </row>
    <row r="11" spans="1:18" x14ac:dyDescent="0.25">
      <c r="A11" s="53" t="str">
        <f>I8</f>
        <v>TOTAL USES PER DAYS SUPPLY</v>
      </c>
      <c r="B11" s="54"/>
      <c r="C11" s="54"/>
      <c r="D11" s="44"/>
      <c r="E11" s="55" t="s">
        <v>15</v>
      </c>
      <c r="F11" s="55"/>
      <c r="G11" s="55"/>
      <c r="H11" s="44"/>
      <c r="I11" s="54" t="s">
        <v>16</v>
      </c>
      <c r="J11" s="54"/>
      <c r="K11" s="54"/>
      <c r="L11" s="54"/>
      <c r="M11" s="54"/>
      <c r="N11" s="44"/>
      <c r="O11" s="55" t="s">
        <v>17</v>
      </c>
      <c r="P11" s="55"/>
      <c r="Q11" s="55"/>
      <c r="R11" s="56"/>
    </row>
    <row r="12" spans="1:18" ht="15.75" x14ac:dyDescent="0.25">
      <c r="A12" s="81" t="s">
        <v>18</v>
      </c>
      <c r="B12" s="82"/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3"/>
    </row>
    <row r="13" spans="1:18" x14ac:dyDescent="0.25">
      <c r="A13" s="38" t="e">
        <f>O10</f>
        <v>#DIV/0!</v>
      </c>
      <c r="B13" s="39"/>
      <c r="C13" s="40"/>
      <c r="D13" s="41" t="s">
        <v>8</v>
      </c>
      <c r="E13" s="43">
        <f>Q8</f>
        <v>0</v>
      </c>
      <c r="F13" s="43"/>
      <c r="G13" s="43"/>
      <c r="H13" s="44" t="s">
        <v>2</v>
      </c>
      <c r="I13" s="46" t="e">
        <f>A13*E13</f>
        <v>#DIV/0!</v>
      </c>
      <c r="J13" s="46"/>
      <c r="K13" s="46"/>
      <c r="L13" s="46"/>
      <c r="M13" s="46"/>
      <c r="N13" s="46"/>
      <c r="O13" s="46"/>
      <c r="P13" s="46"/>
      <c r="Q13" s="46"/>
      <c r="R13" s="47"/>
    </row>
    <row r="14" spans="1:18" ht="15.75" thickBot="1" x14ac:dyDescent="0.3">
      <c r="A14" s="48" t="s">
        <v>19</v>
      </c>
      <c r="B14" s="49"/>
      <c r="C14" s="49"/>
      <c r="D14" s="42"/>
      <c r="E14" s="49" t="s">
        <v>10</v>
      </c>
      <c r="F14" s="49"/>
      <c r="G14" s="49"/>
      <c r="H14" s="45"/>
      <c r="I14" s="50" t="s">
        <v>20</v>
      </c>
      <c r="J14" s="50"/>
      <c r="K14" s="50"/>
      <c r="L14" s="50"/>
      <c r="M14" s="50"/>
      <c r="N14" s="50"/>
      <c r="O14" s="50"/>
      <c r="P14" s="50"/>
      <c r="Q14" s="50"/>
      <c r="R14" s="51"/>
    </row>
    <row r="15" spans="1:18" ht="26.25" x14ac:dyDescent="0.4">
      <c r="A15" s="30" t="s">
        <v>21</v>
      </c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</row>
    <row r="16" spans="1:18" ht="15.75" thickBot="1" x14ac:dyDescent="0.3">
      <c r="A16" s="31" t="s">
        <v>22</v>
      </c>
      <c r="B16" s="31"/>
      <c r="C16" s="31"/>
      <c r="D16" s="31"/>
      <c r="E16" s="31"/>
      <c r="F16" s="31"/>
      <c r="G16" s="31"/>
      <c r="H16" s="29"/>
      <c r="I16" s="29"/>
      <c r="J16" s="29"/>
      <c r="K16" s="31"/>
      <c r="L16" s="31"/>
      <c r="M16" s="31"/>
      <c r="N16" s="31"/>
      <c r="O16" s="31"/>
      <c r="P16" s="31"/>
      <c r="Q16" s="31"/>
      <c r="R16" s="31"/>
    </row>
    <row r="17" spans="1:18" ht="45" x14ac:dyDescent="0.25">
      <c r="A17" s="32" t="s">
        <v>23</v>
      </c>
      <c r="B17" s="33"/>
      <c r="C17" s="2" t="s">
        <v>24</v>
      </c>
      <c r="D17" s="2" t="s">
        <v>25</v>
      </c>
      <c r="E17" s="2" t="s">
        <v>26</v>
      </c>
      <c r="F17" s="2" t="s">
        <v>27</v>
      </c>
      <c r="G17" s="1" t="s">
        <v>28</v>
      </c>
      <c r="H17" s="34" t="s">
        <v>29</v>
      </c>
      <c r="I17" s="35"/>
      <c r="J17" s="36"/>
      <c r="K17" s="37" t="s">
        <v>30</v>
      </c>
      <c r="L17" s="37"/>
      <c r="M17" s="33"/>
      <c r="N17" s="32" t="s">
        <v>31</v>
      </c>
      <c r="O17" s="33"/>
      <c r="P17" s="2" t="s">
        <v>32</v>
      </c>
      <c r="Q17" s="15" t="s">
        <v>33</v>
      </c>
      <c r="R17" s="15"/>
    </row>
    <row r="18" spans="1:18" ht="15.75" thickBot="1" x14ac:dyDescent="0.3">
      <c r="A18" s="19" t="s">
        <v>34</v>
      </c>
      <c r="B18" s="20"/>
      <c r="C18" s="4"/>
      <c r="D18" s="4"/>
      <c r="E18" s="4"/>
      <c r="F18" s="5">
        <v>43992</v>
      </c>
      <c r="G18" s="3">
        <v>43992</v>
      </c>
      <c r="H18" s="21" t="s">
        <v>35</v>
      </c>
      <c r="I18" s="22"/>
      <c r="J18" s="23"/>
      <c r="K18" s="24" t="s">
        <v>36</v>
      </c>
      <c r="L18" s="24"/>
      <c r="M18" s="25"/>
      <c r="N18" s="26"/>
      <c r="O18" s="27"/>
      <c r="P18" s="5" t="s">
        <v>37</v>
      </c>
      <c r="Q18" s="26"/>
      <c r="R18" s="27"/>
    </row>
    <row r="19" spans="1:18" ht="15.75" thickBot="1" x14ac:dyDescent="0.3">
      <c r="A19" s="28" t="s">
        <v>38</v>
      </c>
      <c r="B19" s="28"/>
      <c r="C19" s="28"/>
      <c r="D19" s="28"/>
      <c r="E19" s="28"/>
      <c r="F19" s="28"/>
      <c r="G19" s="28"/>
      <c r="H19" s="29"/>
      <c r="I19" s="29"/>
      <c r="J19" s="29"/>
      <c r="K19" s="28"/>
      <c r="L19" s="28"/>
      <c r="M19" s="28"/>
      <c r="N19" s="28"/>
      <c r="O19" s="28"/>
      <c r="P19" s="28"/>
      <c r="Q19" s="28"/>
      <c r="R19" s="28"/>
    </row>
    <row r="20" spans="1:18" ht="30" x14ac:dyDescent="0.25">
      <c r="A20" s="6"/>
      <c r="B20" s="7" t="s">
        <v>39</v>
      </c>
      <c r="C20" s="8" t="s">
        <v>40</v>
      </c>
      <c r="D20" s="9" t="s">
        <v>41</v>
      </c>
      <c r="E20" s="9" t="s">
        <v>42</v>
      </c>
      <c r="F20" s="9" t="s">
        <v>43</v>
      </c>
      <c r="G20" s="9" t="s">
        <v>44</v>
      </c>
      <c r="H20" s="9" t="s">
        <v>45</v>
      </c>
      <c r="I20" s="9" t="s">
        <v>46</v>
      </c>
      <c r="J20" s="9" t="s">
        <v>47</v>
      </c>
      <c r="K20" s="9" t="s">
        <v>48</v>
      </c>
      <c r="L20" s="9" t="s">
        <v>49</v>
      </c>
      <c r="M20" s="9" t="s">
        <v>50</v>
      </c>
      <c r="N20" s="9" t="s">
        <v>51</v>
      </c>
      <c r="O20" s="9" t="s">
        <v>52</v>
      </c>
      <c r="P20" s="15" t="s">
        <v>53</v>
      </c>
      <c r="Q20" s="15"/>
      <c r="R20" s="15"/>
    </row>
    <row r="21" spans="1:18" ht="15.75" thickBot="1" x14ac:dyDescent="0.3">
      <c r="A21" s="10"/>
      <c r="B21" s="11">
        <v>169330312</v>
      </c>
      <c r="C21" s="12" t="s">
        <v>54</v>
      </c>
      <c r="D21" s="13" t="s">
        <v>55</v>
      </c>
      <c r="E21" s="13" t="s">
        <v>56</v>
      </c>
      <c r="F21" s="14" t="s">
        <v>57</v>
      </c>
      <c r="G21" s="13">
        <v>92886</v>
      </c>
      <c r="H21" s="13"/>
      <c r="I21" s="13" t="s">
        <v>58</v>
      </c>
      <c r="J21" s="13" t="s">
        <v>59</v>
      </c>
      <c r="K21" s="13" t="s">
        <v>60</v>
      </c>
      <c r="L21" s="13"/>
      <c r="M21" s="13"/>
      <c r="N21" s="13" t="s">
        <v>61</v>
      </c>
      <c r="O21" s="13" t="s">
        <v>62</v>
      </c>
      <c r="P21" s="16" t="s">
        <v>63</v>
      </c>
      <c r="Q21" s="17"/>
      <c r="R21" s="18"/>
    </row>
  </sheetData>
  <mergeCells count="62">
    <mergeCell ref="A1:R2"/>
    <mergeCell ref="A3:R3"/>
    <mergeCell ref="A4:C4"/>
    <mergeCell ref="D4:D5"/>
    <mergeCell ref="E4:G4"/>
    <mergeCell ref="H4:H5"/>
    <mergeCell ref="I4:L4"/>
    <mergeCell ref="M4:M5"/>
    <mergeCell ref="N4:R4"/>
    <mergeCell ref="A5:C5"/>
    <mergeCell ref="E5:G5"/>
    <mergeCell ref="I5:L5"/>
    <mergeCell ref="N5:R5"/>
    <mergeCell ref="A6:R6"/>
    <mergeCell ref="A7:C7"/>
    <mergeCell ref="D7:D8"/>
    <mergeCell ref="E7:G7"/>
    <mergeCell ref="H7:H8"/>
    <mergeCell ref="I7:M7"/>
    <mergeCell ref="O7:P7"/>
    <mergeCell ref="Q7:R7"/>
    <mergeCell ref="A8:C8"/>
    <mergeCell ref="E8:G8"/>
    <mergeCell ref="I8:M8"/>
    <mergeCell ref="O8:P8"/>
    <mergeCell ref="Q8:R8"/>
    <mergeCell ref="A9:R9"/>
    <mergeCell ref="A10:C10"/>
    <mergeCell ref="D10:D11"/>
    <mergeCell ref="E10:G10"/>
    <mergeCell ref="H10:H11"/>
    <mergeCell ref="I10:M10"/>
    <mergeCell ref="N10:N11"/>
    <mergeCell ref="O10:R10"/>
    <mergeCell ref="A11:C11"/>
    <mergeCell ref="E11:G11"/>
    <mergeCell ref="I11:M11"/>
    <mergeCell ref="O11:R11"/>
    <mergeCell ref="A12:R12"/>
    <mergeCell ref="A13:C13"/>
    <mergeCell ref="D13:D14"/>
    <mergeCell ref="E13:G13"/>
    <mergeCell ref="H13:H14"/>
    <mergeCell ref="I13:R13"/>
    <mergeCell ref="A14:C14"/>
    <mergeCell ref="E14:G14"/>
    <mergeCell ref="I14:R14"/>
    <mergeCell ref="A15:R15"/>
    <mergeCell ref="A16:R16"/>
    <mergeCell ref="A17:B17"/>
    <mergeCell ref="H17:J17"/>
    <mergeCell ref="K17:M17"/>
    <mergeCell ref="N17:O17"/>
    <mergeCell ref="Q17:R17"/>
    <mergeCell ref="P20:R20"/>
    <mergeCell ref="P21:R21"/>
    <mergeCell ref="A18:B18"/>
    <mergeCell ref="H18:J18"/>
    <mergeCell ref="K18:M18"/>
    <mergeCell ref="N18:O18"/>
    <mergeCell ref="Q18:R18"/>
    <mergeCell ref="A19:R19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Willard, Sean E</dc:creator>
  <cp:keywords/>
  <dc:description/>
  <cp:lastModifiedBy>Davis, David P.</cp:lastModifiedBy>
  <cp:revision/>
  <dcterms:created xsi:type="dcterms:W3CDTF">2022-11-02T13:50:27Z</dcterms:created>
  <dcterms:modified xsi:type="dcterms:W3CDTF">2023-06-20T11:04:47Z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7599526-06ca-49cc-9fa9-5307800a949a_Enabled">
    <vt:lpwstr>true</vt:lpwstr>
  </property>
  <property fmtid="{D5CDD505-2E9C-101B-9397-08002B2CF9AE}" pid="3" name="MSIP_Label_67599526-06ca-49cc-9fa9-5307800a949a_SetDate">
    <vt:lpwstr>2022-11-02T13:50:28Z</vt:lpwstr>
  </property>
  <property fmtid="{D5CDD505-2E9C-101B-9397-08002B2CF9AE}" pid="4" name="MSIP_Label_67599526-06ca-49cc-9fa9-5307800a949a_Method">
    <vt:lpwstr>Standard</vt:lpwstr>
  </property>
  <property fmtid="{D5CDD505-2E9C-101B-9397-08002B2CF9AE}" pid="5" name="MSIP_Label_67599526-06ca-49cc-9fa9-5307800a949a_Name">
    <vt:lpwstr>67599526-06ca-49cc-9fa9-5307800a949a</vt:lpwstr>
  </property>
  <property fmtid="{D5CDD505-2E9C-101B-9397-08002B2CF9AE}" pid="6" name="MSIP_Label_67599526-06ca-49cc-9fa9-5307800a949a_SiteId">
    <vt:lpwstr>fabb61b8-3afe-4e75-b934-a47f782b8cd7</vt:lpwstr>
  </property>
  <property fmtid="{D5CDD505-2E9C-101B-9397-08002B2CF9AE}" pid="7" name="MSIP_Label_67599526-06ca-49cc-9fa9-5307800a949a_ActionId">
    <vt:lpwstr>5561b4ca-aa09-4efc-aa6b-d24a07100fc3</vt:lpwstr>
  </property>
  <property fmtid="{D5CDD505-2E9C-101B-9397-08002B2CF9AE}" pid="8" name="MSIP_Label_67599526-06ca-49cc-9fa9-5307800a949a_ContentBits">
    <vt:lpwstr>0</vt:lpwstr>
  </property>
</Properties>
</file>